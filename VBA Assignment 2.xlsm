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OOJA\OneDrive\Desktop\Semester 1\Programming in Business Analytics\"/>
    </mc:Choice>
  </mc:AlternateContent>
  <xr:revisionPtr revIDLastSave="0" documentId="13_ncr:1_{47A599A0-780C-4E68-9198-A0A86A8C4F11}" xr6:coauthVersionLast="47" xr6:coauthVersionMax="47" xr10:uidLastSave="{00000000-0000-0000-0000-000000000000}"/>
  <bookViews>
    <workbookView xWindow="-108" yWindow="-108" windowWidth="23256" windowHeight="12456" activeTab="3" xr2:uid="{9FA7218F-B94F-4DA8-BC2A-4601F792C314}"/>
  </bookViews>
  <sheets>
    <sheet name="Customers" sheetId="10" r:id="rId1"/>
    <sheet name="Orders" sheetId="3" r:id="rId2"/>
    <sheet name="Products" sheetId="11" r:id="rId3"/>
    <sheet name="Order Form" sheetId="9" r:id="rId4"/>
    <sheet name="Pivot sheet" sheetId="6" r:id="rId5"/>
    <sheet name="Product Form" sheetId="12" r:id="rId6"/>
  </sheets>
  <definedNames>
    <definedName name="_xlnm._FilterDatabase" localSheetId="1" hidden="1">Orders!$A$1:$F$26</definedName>
    <definedName name="_xleta.VLOOKUP" hidden="1" xlm="1">#NAME?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9" l="1"/>
  <c r="K20" i="9" s="1"/>
  <c r="J19" i="9"/>
  <c r="K19" i="9" s="1"/>
  <c r="K31" i="9" s="1"/>
  <c r="E20" i="9"/>
  <c r="F20" i="9" s="1"/>
  <c r="E19" i="9"/>
  <c r="F19" i="9" s="1"/>
  <c r="I19" i="9" s="1"/>
</calcChain>
</file>

<file path=xl/sharedStrings.xml><?xml version="1.0" encoding="utf-8"?>
<sst xmlns="http://schemas.openxmlformats.org/spreadsheetml/2006/main" count="262" uniqueCount="172">
  <si>
    <t>Full Name</t>
  </si>
  <si>
    <t>Email Address</t>
  </si>
  <si>
    <t>Phone Number</t>
  </si>
  <si>
    <t>Location</t>
  </si>
  <si>
    <t>Rajesh Kumar</t>
  </si>
  <si>
    <t>Pooja Sharma</t>
  </si>
  <si>
    <t>Arjun Verma</t>
  </si>
  <si>
    <t>Neha Singh</t>
  </si>
  <si>
    <t>Rohit Mehta</t>
  </si>
  <si>
    <t>Priya Nair</t>
  </si>
  <si>
    <t>Vikram Patel</t>
  </si>
  <si>
    <t>Ananya Gupta</t>
  </si>
  <si>
    <t>Karan Thakur</t>
  </si>
  <si>
    <t>Sneha Joshi</t>
  </si>
  <si>
    <t>Amit Choudhary</t>
  </si>
  <si>
    <t>Kavita Deshmukh</t>
  </si>
  <si>
    <t>Nitin Reddy</t>
  </si>
  <si>
    <t>Deepa Iyer</t>
  </si>
  <si>
    <t>Manoj Saxena</t>
  </si>
  <si>
    <t>Ritu Bhatia</t>
  </si>
  <si>
    <t>Ashok Rao</t>
  </si>
  <si>
    <t>Meera Subramanian</t>
  </si>
  <si>
    <t>Sanjay Malhotra</t>
  </si>
  <si>
    <t>Anjali Kapoor</t>
  </si>
  <si>
    <t>Vivek Dutta</t>
  </si>
  <si>
    <t>Radhika Menon</t>
  </si>
  <si>
    <t>Siddharth Jain</t>
  </si>
  <si>
    <t>Asha Kulkarni</t>
  </si>
  <si>
    <t>Gaurav Pandey</t>
  </si>
  <si>
    <t>+91-8587367072</t>
  </si>
  <si>
    <t>Meerut</t>
  </si>
  <si>
    <t>+91-8619526316</t>
  </si>
  <si>
    <t>Nashik</t>
  </si>
  <si>
    <t>+91-9526344656</t>
  </si>
  <si>
    <t>Nagpur</t>
  </si>
  <si>
    <t>+91-8707414400</t>
  </si>
  <si>
    <t>Patna</t>
  </si>
  <si>
    <t>+91-9342461593</t>
  </si>
  <si>
    <t>Indore</t>
  </si>
  <si>
    <t>+91-9768250223</t>
  </si>
  <si>
    <t>+91-7559389197</t>
  </si>
  <si>
    <t>Chennai</t>
  </si>
  <si>
    <t>+91-9315277553</t>
  </si>
  <si>
    <t>Kanpur</t>
  </si>
  <si>
    <t>+91-7212558187</t>
  </si>
  <si>
    <t>Delhi</t>
  </si>
  <si>
    <t>+91-7598320406</t>
  </si>
  <si>
    <t>Lucknow</t>
  </si>
  <si>
    <t>+91-9986203462</t>
  </si>
  <si>
    <t>Ahmedabad</t>
  </si>
  <si>
    <t>+91-8048815742</t>
  </si>
  <si>
    <t>Faridabad</t>
  </si>
  <si>
    <t>+91-7765519089</t>
  </si>
  <si>
    <t>+91-8584397947</t>
  </si>
  <si>
    <t>Ludhiana</t>
  </si>
  <si>
    <t>+91-9895665945</t>
  </si>
  <si>
    <t>Pune</t>
  </si>
  <si>
    <t>+91-7016875296</t>
  </si>
  <si>
    <t>Vadodara</t>
  </si>
  <si>
    <t>+91-9923843261</t>
  </si>
  <si>
    <t>Hyderabad</t>
  </si>
  <si>
    <t>+91-9563882107</t>
  </si>
  <si>
    <t>+91-9556875601</t>
  </si>
  <si>
    <t>+91-9589054258</t>
  </si>
  <si>
    <t>+91-7236491447</t>
  </si>
  <si>
    <t>+91-9612672477</t>
  </si>
  <si>
    <t>+91-8004733193</t>
  </si>
  <si>
    <t>+91-7881997717</t>
  </si>
  <si>
    <t>+91-9812121557</t>
  </si>
  <si>
    <t>rajesh.kumar@yahoo.com</t>
  </si>
  <si>
    <t>pooja.sharma@yahoo.com</t>
  </si>
  <si>
    <t>arjun.verma@yahoo.com</t>
  </si>
  <si>
    <t>neha.singh@yahoo.com</t>
  </si>
  <si>
    <t>rohit.mehta@yahoo.com</t>
  </si>
  <si>
    <t>priya.nair@yahoo.com</t>
  </si>
  <si>
    <t>vikram.patel@yahoo.com</t>
  </si>
  <si>
    <t>ananya.gupta@yahoo.com</t>
  </si>
  <si>
    <t>karan.thakur@yahoo.com</t>
  </si>
  <si>
    <t>sneha.joshi@yahoo.com</t>
  </si>
  <si>
    <t>amit.choudhary@yahoo.com</t>
  </si>
  <si>
    <t>kavita.deshmukh@yahoo.com</t>
  </si>
  <si>
    <t>nitin.reddy@yahoo.com</t>
  </si>
  <si>
    <t>deepa.iyer@yahoo.com</t>
  </si>
  <si>
    <t>manoj.saxena@yahoo.com</t>
  </si>
  <si>
    <t>ritu.bhatia@yahoo.com</t>
  </si>
  <si>
    <t>ashok.rao@yahoo.com</t>
  </si>
  <si>
    <t>meera.subramanian@yahoo.com</t>
  </si>
  <si>
    <t>sanjay.malhotra@yahoo.com</t>
  </si>
  <si>
    <t>anjali.kapoor@yahoo.com</t>
  </si>
  <si>
    <t>vivek.dutta@yahoo.com</t>
  </si>
  <si>
    <t>radhika.menon@yahoo.com</t>
  </si>
  <si>
    <t>siddharth.jain@yahoo.com</t>
  </si>
  <si>
    <t>asha.kulkarni@yahoo.com</t>
  </si>
  <si>
    <t>gaurav.pandey@yahoo.com</t>
  </si>
  <si>
    <t>Product ID</t>
  </si>
  <si>
    <t>Product Name</t>
  </si>
  <si>
    <t>Category</t>
  </si>
  <si>
    <t>Price</t>
  </si>
  <si>
    <t>Stock</t>
  </si>
  <si>
    <t>Urban Voyager Backpack</t>
  </si>
  <si>
    <t>Classic Carry Tote</t>
  </si>
  <si>
    <t>Mountain Trail Rucksack</t>
  </si>
  <si>
    <t>City Chic Shoulder Bag</t>
  </si>
  <si>
    <t>Everyday Essentials Duffel</t>
  </si>
  <si>
    <t>Traveler's Haven Backpack</t>
  </si>
  <si>
    <t>Elegance Crossbody Bag</t>
  </si>
  <si>
    <t>Sturdy Nomad Messenger Bag</t>
  </si>
  <si>
    <t>EcoStyle Canvas Tote</t>
  </si>
  <si>
    <t>Versatile Gear Pack</t>
  </si>
  <si>
    <t>Backpack</t>
  </si>
  <si>
    <t>Tote Bag</t>
  </si>
  <si>
    <t>Rucksack</t>
  </si>
  <si>
    <t>Shoulder Bag</t>
  </si>
  <si>
    <t>Duffel Bag</t>
  </si>
  <si>
    <t xml:space="preserve"> Crossbody Bag</t>
  </si>
  <si>
    <t>Messenger Bag</t>
  </si>
  <si>
    <t>Order ID</t>
  </si>
  <si>
    <t>Customer ID</t>
  </si>
  <si>
    <t>Order Date</t>
  </si>
  <si>
    <t>Quantity</t>
  </si>
  <si>
    <t>AGBO</t>
  </si>
  <si>
    <t>FGBH</t>
  </si>
  <si>
    <t>DWJW</t>
  </si>
  <si>
    <t>SDBW</t>
  </si>
  <si>
    <t>CBWQ</t>
  </si>
  <si>
    <t>FWHO</t>
  </si>
  <si>
    <t>DWDI</t>
  </si>
  <si>
    <t>JCEBJ</t>
  </si>
  <si>
    <t>FWQI</t>
  </si>
  <si>
    <t>VEKN</t>
  </si>
  <si>
    <t>VEBL</t>
  </si>
  <si>
    <t xml:space="preserve"> JKAQ</t>
  </si>
  <si>
    <t>OUWI</t>
  </si>
  <si>
    <t>LAFC</t>
  </si>
  <si>
    <t>JQOQ</t>
  </si>
  <si>
    <t>BBVA</t>
  </si>
  <si>
    <t>MMMD</t>
  </si>
  <si>
    <t>AAAK</t>
  </si>
  <si>
    <t>OOOP</t>
  </si>
  <si>
    <t>KKKK</t>
  </si>
  <si>
    <t>FEGU</t>
  </si>
  <si>
    <t>NNNM</t>
  </si>
  <si>
    <t>HHHE</t>
  </si>
  <si>
    <t>WWWO</t>
  </si>
  <si>
    <t>PPPK</t>
  </si>
  <si>
    <t>Status</t>
  </si>
  <si>
    <t>Delivered</t>
  </si>
  <si>
    <t>Pending</t>
  </si>
  <si>
    <t>Quantity sold</t>
  </si>
  <si>
    <t>Sum of Product ID</t>
  </si>
  <si>
    <t>Row Labels</t>
  </si>
  <si>
    <t>Grand Total</t>
  </si>
  <si>
    <t>Sum of Quantity sold</t>
  </si>
  <si>
    <t>Sum of Price</t>
  </si>
  <si>
    <t>Sum of Total Sales</t>
  </si>
  <si>
    <t>Sub Total</t>
  </si>
  <si>
    <t>Customer Name</t>
  </si>
  <si>
    <t>Vinayak</t>
  </si>
  <si>
    <t>example</t>
  </si>
  <si>
    <t>Overall Total</t>
  </si>
  <si>
    <t>PARADISE ONLINE BAGS PLATFORM</t>
  </si>
  <si>
    <t xml:space="preserve">ORDER FORM </t>
  </si>
  <si>
    <t>Purchase ID</t>
  </si>
  <si>
    <t>ORDER DETAILS</t>
  </si>
  <si>
    <t xml:space="preserve">                                                                                                        ORDER DETAILS</t>
  </si>
  <si>
    <t>Column2</t>
  </si>
  <si>
    <t>Column3</t>
  </si>
  <si>
    <t>S no</t>
  </si>
  <si>
    <t xml:space="preserve">Price     </t>
  </si>
  <si>
    <t xml:space="preserve">Sub Total                                    </t>
  </si>
  <si>
    <t>chang</t>
  </si>
  <si>
    <t>Crossbody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</si>
</sst>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  <font>
      <b/>
      <sz val="1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22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3" fillId="3" borderId="1" xfId="0" applyFont="1" applyFill="1" applyBorder="1"/>
    <xf numFmtId="0" fontId="0" fillId="0" borderId="3" xfId="0" applyBorder="1"/>
    <xf numFmtId="0" fontId="0" fillId="0" borderId="4" xfId="0" applyBorder="1"/>
    <xf numFmtId="0" fontId="4" fillId="3" borderId="3" xfId="0" applyFont="1" applyFill="1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0" fillId="0" borderId="13" xfId="0" applyBorder="1"/>
    <xf numFmtId="0" fontId="0" fillId="0" borderId="11" xfId="0" applyBorder="1"/>
    <xf numFmtId="0" fontId="0" fillId="0" borderId="10" xfId="0" applyBorder="1"/>
    <xf numFmtId="0" fontId="0" fillId="0" borderId="9" xfId="0" applyBorder="1"/>
    <xf numFmtId="0" fontId="7" fillId="4" borderId="9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6" borderId="11" xfId="0" applyFont="1" applyFill="1" applyBorder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</cellXfs>
  <cellStyles count="1">
    <cellStyle name="Normal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6</xdr:row>
          <xdr:rowOff>53340</xdr:rowOff>
        </xdr:from>
        <xdr:to>
          <xdr:col>14</xdr:col>
          <xdr:colOff>449580</xdr:colOff>
          <xdr:row>10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OOJA" refreshedDate="45680.785299189818" createdVersion="8" refreshedVersion="8" minRefreshableVersion="3" recordCount="10" xr:uid="{A5A89520-1A7D-4CF3-A546-AD23E4C40C1F}">
  <cacheSource type="worksheet">
    <worksheetSource ref="D2:G12" sheet="Pivot sheet"/>
  </cacheSource>
  <cacheFields count="5">
    <cacheField name="Product ID" numFmtId="0">
      <sharedItems containsSemiMixedTypes="0" containsString="0" containsNumber="1" containsInteger="1" minValue="4400" maxValue="4499"/>
    </cacheField>
    <cacheField name="Product Name" numFmtId="0">
      <sharedItems count="10">
        <s v="Urban Voyager Backpack"/>
        <s v="Classic Carry Tote"/>
        <s v="Mountain Trail Rucksack"/>
        <s v="City Chic Shoulder Bag"/>
        <s v="Everyday Essentials Duffel"/>
        <s v="Traveler's Haven Backpack"/>
        <s v="Elegance Crossbody Bag"/>
        <s v="Sturdy Nomad Messenger Bag"/>
        <s v="EcoStyle Canvas Tote"/>
        <s v="Versatile Gear Pack"/>
      </sharedItems>
    </cacheField>
    <cacheField name="Quantity sold" numFmtId="0">
      <sharedItems containsSemiMixedTypes="0" containsString="0" containsNumber="1" containsInteger="1" minValue="1" maxValue="15"/>
    </cacheField>
    <cacheField name="Price" numFmtId="0">
      <sharedItems containsSemiMixedTypes="0" containsString="0" containsNumber="1" containsInteger="1" minValue="2300" maxValue="9023"/>
    </cacheField>
    <cacheField name="Total Sales" numFmtId="0" formula="'Quantity sold'*Pric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4400"/>
    <x v="0"/>
    <n v="1"/>
    <n v="2870"/>
  </r>
  <r>
    <n v="4411"/>
    <x v="1"/>
    <n v="8"/>
    <n v="4678"/>
  </r>
  <r>
    <n v="4422"/>
    <x v="2"/>
    <n v="9"/>
    <n v="8237"/>
  </r>
  <r>
    <n v="4433"/>
    <x v="3"/>
    <n v="10"/>
    <n v="5621"/>
  </r>
  <r>
    <n v="4444"/>
    <x v="4"/>
    <n v="11"/>
    <n v="9023"/>
  </r>
  <r>
    <n v="4455"/>
    <x v="5"/>
    <n v="7"/>
    <n v="2990"/>
  </r>
  <r>
    <n v="4466"/>
    <x v="6"/>
    <n v="4"/>
    <n v="3000"/>
  </r>
  <r>
    <n v="4477"/>
    <x v="7"/>
    <n v="4"/>
    <n v="6500"/>
  </r>
  <r>
    <n v="4488"/>
    <x v="8"/>
    <n v="10"/>
    <n v="2300"/>
  </r>
  <r>
    <n v="4499"/>
    <x v="9"/>
    <n v="15"/>
    <n v="6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4B5D8A-2779-4A76-B7DE-0A3AE85A0D8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5:H26" firstHeaderRow="0" firstDataRow="1" firstDataCol="1"/>
  <pivotFields count="5">
    <pivotField dataField="1" showAll="0"/>
    <pivotField axis="axisRow" showAll="0">
      <items count="11">
        <item x="3"/>
        <item x="1"/>
        <item x="8"/>
        <item x="6"/>
        <item x="4"/>
        <item x="2"/>
        <item x="7"/>
        <item x="5"/>
        <item x="0"/>
        <item x="9"/>
        <item t="default"/>
      </items>
    </pivotField>
    <pivotField dataField="1" showAll="0"/>
    <pivotField dataField="1" showAll="0"/>
    <pivotField dataField="1" dragToRow="0" dragToCol="0" dragToPage="0" showAll="0" defaultSubtota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Product ID" fld="0" baseField="0" baseItem="0"/>
    <dataField name="Sum of Quantity sold" fld="2" baseField="0" baseItem="0"/>
    <dataField name="Sum of Price" fld="3" baseField="0" baseItem="0"/>
    <dataField name="Sum of Total Sal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64081-A97B-47D2-BCA5-DE4C8C814383}" name="Table1" displayName="Table1" ref="A18:K30" totalsRowShown="0" tableBorderDxfId="16">
  <tableColumns count="11">
    <tableColumn id="1" xr3:uid="{C3C39543-6EB0-478C-BBDB-8EF11003EDE1}" name="S no" dataDxfId="15"/>
    <tableColumn id="2" xr3:uid="{5017D68F-2340-4FFF-8336-534356805217}" name="Customer Name" dataDxfId="14"/>
    <tableColumn id="3" xr3:uid="{840D7D5C-1691-4E64-BEA1-CBD6347717F5}" name="Product Name" dataDxfId="13"/>
    <tableColumn id="4" xr3:uid="{42D48F09-589E-4A4C-84F2-3963DE2B7B2D}" name="Quantity" dataDxfId="12"/>
    <tableColumn id="5" xr3:uid="{1DD23ECD-7A4D-4FCE-9D2C-E334CA61CE9F}" name="Price" dataDxfId="11"/>
    <tableColumn id="6" xr3:uid="{E244303A-6AA4-4AED-99CE-2344E21B4F24}" name="Sub Total" dataDxfId="10"/>
    <tableColumn id="7" xr3:uid="{6D77342B-0338-44C3-82D4-FB73C892F833}" name="Column2"/>
    <tableColumn id="8" xr3:uid="{3B8D880B-93CA-4FAB-9F75-0043F062B650}" name="Column3"/>
    <tableColumn id="9" xr3:uid="{E64B23F4-2165-4597-AE6A-88A189E2C7E5}" name="Overall Total"/>
    <tableColumn id="10" xr3:uid="{CFE71EF0-A49A-46E9-A233-0210C5DC6EB1}" name="Price     " dataDxfId="9"/>
    <tableColumn id="11" xr3:uid="{E0755C6B-5C70-4A9B-8465-BBACAADE4678}" name="Sub Total                                    " dataDxfId="8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66898C-8114-4CC6-B91E-69D13719D610}" name="Table3" displayName="Table3" ref="D2:G12" totalsRowShown="0" headerRowDxfId="7" headerRowBorderDxfId="6" tableBorderDxfId="5" totalsRowBorderDxfId="4">
  <tableColumns count="4">
    <tableColumn id="1" xr3:uid="{23CD8605-BAE6-4378-94F1-BF5694429FC7}" name="Product ID" dataDxfId="3"/>
    <tableColumn id="2" xr3:uid="{65B4FB99-63BD-4BC0-BD8C-6A83AA3ACEA3}" name="Product Name" dataDxfId="2"/>
    <tableColumn id="3" xr3:uid="{9268723B-21AD-4E67-9711-85704A6777ED}" name="Quantity sold" dataDxfId="1"/>
    <tableColumn id="4" xr3:uid="{189C182F-75DB-4A6A-8FF1-29180F196B1B}" name="Price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92A23-15A3-40A7-8B84-B2839837AC10}">
  <sheetPr codeName="Sheet10"/>
  <dimension ref="A1:E26"/>
  <sheetViews>
    <sheetView workbookViewId="0">
      <selection activeCell="E9" sqref="A1:E26"/>
    </sheetView>
  </sheetViews>
  <sheetFormatPr defaultRowHeight="14.4"/>
  <cols>
    <col min="1" max="1" width="10.88671875" bestFit="1" customWidth="1"/>
    <col min="2" max="2" width="17.33203125" bestFit="1" customWidth="1"/>
    <col min="3" max="3" width="28.33203125" bestFit="1" customWidth="1"/>
    <col min="4" max="4" width="14.77734375" bestFit="1" customWidth="1"/>
    <col min="5" max="5" width="10.6640625" bestFit="1" customWidth="1"/>
  </cols>
  <sheetData>
    <row r="1" spans="1:5">
      <c r="A1" t="s">
        <v>117</v>
      </c>
      <c r="B1" t="s">
        <v>0</v>
      </c>
      <c r="C1" t="s">
        <v>1</v>
      </c>
      <c r="D1" t="s">
        <v>2</v>
      </c>
      <c r="E1" t="s">
        <v>3</v>
      </c>
    </row>
    <row r="2" spans="1:5">
      <c r="A2">
        <v>110158001</v>
      </c>
      <c r="B2" t="s">
        <v>4</v>
      </c>
      <c r="C2" t="s">
        <v>69</v>
      </c>
      <c r="D2" t="s">
        <v>29</v>
      </c>
      <c r="E2" t="s">
        <v>30</v>
      </c>
    </row>
    <row r="3" spans="1:5">
      <c r="A3">
        <v>110158002</v>
      </c>
      <c r="B3" t="s">
        <v>5</v>
      </c>
      <c r="C3" t="s">
        <v>70</v>
      </c>
      <c r="D3" t="s">
        <v>31</v>
      </c>
      <c r="E3" t="s">
        <v>32</v>
      </c>
    </row>
    <row r="4" spans="1:5">
      <c r="A4">
        <v>110158003</v>
      </c>
      <c r="B4" t="s">
        <v>6</v>
      </c>
      <c r="C4" t="s">
        <v>71</v>
      </c>
      <c r="D4" t="s">
        <v>33</v>
      </c>
      <c r="E4" t="s">
        <v>34</v>
      </c>
    </row>
    <row r="5" spans="1:5">
      <c r="A5">
        <v>110158004</v>
      </c>
      <c r="B5" t="s">
        <v>7</v>
      </c>
      <c r="C5" t="s">
        <v>72</v>
      </c>
      <c r="D5" t="s">
        <v>35</v>
      </c>
      <c r="E5" t="s">
        <v>36</v>
      </c>
    </row>
    <row r="6" spans="1:5">
      <c r="A6">
        <v>110158005</v>
      </c>
      <c r="B6" t="s">
        <v>8</v>
      </c>
      <c r="C6" t="s">
        <v>73</v>
      </c>
      <c r="D6" t="s">
        <v>37</v>
      </c>
      <c r="E6" t="s">
        <v>38</v>
      </c>
    </row>
    <row r="7" spans="1:5">
      <c r="A7">
        <v>110158006</v>
      </c>
      <c r="B7" t="s">
        <v>9</v>
      </c>
      <c r="C7" t="s">
        <v>74</v>
      </c>
      <c r="D7" t="s">
        <v>39</v>
      </c>
      <c r="E7" t="s">
        <v>36</v>
      </c>
    </row>
    <row r="8" spans="1:5">
      <c r="A8">
        <v>110158007</v>
      </c>
      <c r="B8" t="s">
        <v>10</v>
      </c>
      <c r="C8" t="s">
        <v>75</v>
      </c>
      <c r="D8" t="s">
        <v>40</v>
      </c>
      <c r="E8" t="s">
        <v>41</v>
      </c>
    </row>
    <row r="9" spans="1:5">
      <c r="A9">
        <v>110158008</v>
      </c>
      <c r="B9" t="s">
        <v>11</v>
      </c>
      <c r="C9" t="s">
        <v>76</v>
      </c>
      <c r="D9" t="s">
        <v>42</v>
      </c>
      <c r="E9" t="s">
        <v>43</v>
      </c>
    </row>
    <row r="10" spans="1:5">
      <c r="A10">
        <v>110158009</v>
      </c>
      <c r="B10" t="s">
        <v>12</v>
      </c>
      <c r="C10" t="s">
        <v>77</v>
      </c>
      <c r="D10" t="s">
        <v>44</v>
      </c>
      <c r="E10" t="s">
        <v>45</v>
      </c>
    </row>
    <row r="11" spans="1:5">
      <c r="A11">
        <v>110158010</v>
      </c>
      <c r="B11" t="s">
        <v>13</v>
      </c>
      <c r="C11" t="s">
        <v>78</v>
      </c>
      <c r="D11" t="s">
        <v>46</v>
      </c>
      <c r="E11" t="s">
        <v>47</v>
      </c>
    </row>
    <row r="12" spans="1:5">
      <c r="A12">
        <v>110158011</v>
      </c>
      <c r="B12" t="s">
        <v>14</v>
      </c>
      <c r="C12" t="s">
        <v>79</v>
      </c>
      <c r="D12" t="s">
        <v>48</v>
      </c>
      <c r="E12" t="s">
        <v>49</v>
      </c>
    </row>
    <row r="13" spans="1:5">
      <c r="A13">
        <v>110158012</v>
      </c>
      <c r="B13" t="s">
        <v>15</v>
      </c>
      <c r="C13" t="s">
        <v>80</v>
      </c>
      <c r="D13" t="s">
        <v>50</v>
      </c>
      <c r="E13" t="s">
        <v>51</v>
      </c>
    </row>
    <row r="14" spans="1:5">
      <c r="A14">
        <v>110158013</v>
      </c>
      <c r="B14" t="s">
        <v>16</v>
      </c>
      <c r="C14" t="s">
        <v>81</v>
      </c>
      <c r="D14" t="s">
        <v>52</v>
      </c>
      <c r="E14" t="s">
        <v>36</v>
      </c>
    </row>
    <row r="15" spans="1:5">
      <c r="A15">
        <v>110158014</v>
      </c>
      <c r="B15" t="s">
        <v>17</v>
      </c>
      <c r="C15" t="s">
        <v>82</v>
      </c>
      <c r="D15" t="s">
        <v>53</v>
      </c>
      <c r="E15" t="s">
        <v>54</v>
      </c>
    </row>
    <row r="16" spans="1:5">
      <c r="A16">
        <v>110158015</v>
      </c>
      <c r="B16" t="s">
        <v>18</v>
      </c>
      <c r="C16" t="s">
        <v>83</v>
      </c>
      <c r="D16" t="s">
        <v>55</v>
      </c>
      <c r="E16" t="s">
        <v>56</v>
      </c>
    </row>
    <row r="17" spans="1:5">
      <c r="A17">
        <v>110158016</v>
      </c>
      <c r="B17" t="s">
        <v>19</v>
      </c>
      <c r="C17" t="s">
        <v>84</v>
      </c>
      <c r="D17" t="s">
        <v>57</v>
      </c>
      <c r="E17" t="s">
        <v>58</v>
      </c>
    </row>
    <row r="18" spans="1:5">
      <c r="A18">
        <v>110158017</v>
      </c>
      <c r="B18" t="s">
        <v>20</v>
      </c>
      <c r="C18" t="s">
        <v>85</v>
      </c>
      <c r="D18" t="s">
        <v>59</v>
      </c>
      <c r="E18" t="s">
        <v>60</v>
      </c>
    </row>
    <row r="19" spans="1:5">
      <c r="A19">
        <v>110158018</v>
      </c>
      <c r="B19" t="s">
        <v>21</v>
      </c>
      <c r="C19" t="s">
        <v>86</v>
      </c>
      <c r="D19" t="s">
        <v>61</v>
      </c>
      <c r="E19" t="s">
        <v>30</v>
      </c>
    </row>
    <row r="20" spans="1:5">
      <c r="A20">
        <v>110158019</v>
      </c>
      <c r="B20" t="s">
        <v>22</v>
      </c>
      <c r="C20" t="s">
        <v>87</v>
      </c>
      <c r="D20" t="s">
        <v>62</v>
      </c>
      <c r="E20" t="s">
        <v>36</v>
      </c>
    </row>
    <row r="21" spans="1:5">
      <c r="A21">
        <v>110158020</v>
      </c>
      <c r="B21" t="s">
        <v>23</v>
      </c>
      <c r="C21" t="s">
        <v>88</v>
      </c>
      <c r="D21" t="s">
        <v>63</v>
      </c>
      <c r="E21" t="s">
        <v>32</v>
      </c>
    </row>
    <row r="22" spans="1:5">
      <c r="A22">
        <v>110158021</v>
      </c>
      <c r="B22" t="s">
        <v>24</v>
      </c>
      <c r="C22" t="s">
        <v>89</v>
      </c>
      <c r="D22" t="s">
        <v>64</v>
      </c>
      <c r="E22" t="s">
        <v>45</v>
      </c>
    </row>
    <row r="23" spans="1:5">
      <c r="A23">
        <v>110158022</v>
      </c>
      <c r="B23" t="s">
        <v>25</v>
      </c>
      <c r="C23" t="s">
        <v>90</v>
      </c>
      <c r="D23" t="s">
        <v>65</v>
      </c>
      <c r="E23" t="s">
        <v>56</v>
      </c>
    </row>
    <row r="24" spans="1:5">
      <c r="A24">
        <v>110158023</v>
      </c>
      <c r="B24" t="s">
        <v>26</v>
      </c>
      <c r="C24" t="s">
        <v>91</v>
      </c>
      <c r="D24" t="s">
        <v>66</v>
      </c>
      <c r="E24" t="s">
        <v>47</v>
      </c>
    </row>
    <row r="25" spans="1:5">
      <c r="A25">
        <v>110158024</v>
      </c>
      <c r="B25" t="s">
        <v>27</v>
      </c>
      <c r="C25" t="s">
        <v>92</v>
      </c>
      <c r="D25" t="s">
        <v>67</v>
      </c>
      <c r="E25" t="s">
        <v>54</v>
      </c>
    </row>
    <row r="26" spans="1:5">
      <c r="A26">
        <v>110158025</v>
      </c>
      <c r="B26" t="s">
        <v>28</v>
      </c>
      <c r="C26" t="s">
        <v>93</v>
      </c>
      <c r="D26" t="s">
        <v>68</v>
      </c>
      <c r="E26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217A9-FA30-4140-93A0-72A60A87928B}">
  <sheetPr codeName="Sheet3"/>
  <dimension ref="A1:F26"/>
  <sheetViews>
    <sheetView workbookViewId="0">
      <selection activeCell="I28" sqref="I28"/>
    </sheetView>
  </sheetViews>
  <sheetFormatPr defaultRowHeight="14.4"/>
  <cols>
    <col min="2" max="2" width="17.6640625" customWidth="1"/>
    <col min="3" max="3" width="7.6640625" bestFit="1" customWidth="1"/>
    <col min="4" max="4" width="10.88671875" bestFit="1" customWidth="1"/>
    <col min="5" max="5" width="9.33203125" bestFit="1" customWidth="1"/>
    <col min="6" max="6" width="10.33203125" bestFit="1" customWidth="1"/>
    <col min="7" max="7" width="7.6640625" bestFit="1" customWidth="1"/>
  </cols>
  <sheetData>
    <row r="1" spans="1:6">
      <c r="A1" t="s">
        <v>116</v>
      </c>
      <c r="B1" t="s">
        <v>117</v>
      </c>
      <c r="C1" t="s">
        <v>94</v>
      </c>
      <c r="D1" t="s">
        <v>118</v>
      </c>
      <c r="E1" t="s">
        <v>119</v>
      </c>
      <c r="F1" t="s">
        <v>145</v>
      </c>
    </row>
    <row r="2" spans="1:6">
      <c r="A2" t="s">
        <v>131</v>
      </c>
      <c r="B2">
        <v>110158012</v>
      </c>
      <c r="C2">
        <v>4499</v>
      </c>
      <c r="D2" s="1">
        <v>45359</v>
      </c>
      <c r="E2">
        <v>2</v>
      </c>
      <c r="F2" t="s">
        <v>146</v>
      </c>
    </row>
    <row r="3" spans="1:6">
      <c r="A3" t="s">
        <v>137</v>
      </c>
      <c r="B3">
        <v>110158018</v>
      </c>
      <c r="C3">
        <v>4466</v>
      </c>
      <c r="D3" s="1">
        <v>45365</v>
      </c>
      <c r="E3">
        <v>2</v>
      </c>
      <c r="F3" t="s">
        <v>147</v>
      </c>
    </row>
    <row r="4" spans="1:6">
      <c r="A4" t="s">
        <v>120</v>
      </c>
      <c r="B4">
        <v>110158001</v>
      </c>
      <c r="C4">
        <v>4400</v>
      </c>
      <c r="D4" s="1">
        <v>45348</v>
      </c>
      <c r="E4">
        <v>1</v>
      </c>
      <c r="F4" t="s">
        <v>146</v>
      </c>
    </row>
    <row r="5" spans="1:6">
      <c r="A5" t="s">
        <v>135</v>
      </c>
      <c r="B5">
        <v>110158016</v>
      </c>
      <c r="C5">
        <v>4444</v>
      </c>
      <c r="D5" s="1">
        <v>45363</v>
      </c>
      <c r="E5">
        <v>5</v>
      </c>
      <c r="F5" t="s">
        <v>147</v>
      </c>
    </row>
    <row r="6" spans="1:6">
      <c r="A6" t="s">
        <v>124</v>
      </c>
      <c r="B6">
        <v>110158005</v>
      </c>
      <c r="C6">
        <v>4444</v>
      </c>
      <c r="D6" s="1">
        <v>45352</v>
      </c>
      <c r="E6">
        <v>6</v>
      </c>
      <c r="F6" t="s">
        <v>146</v>
      </c>
    </row>
    <row r="7" spans="1:6">
      <c r="A7" t="s">
        <v>126</v>
      </c>
      <c r="B7">
        <v>110158007</v>
      </c>
      <c r="C7">
        <v>4466</v>
      </c>
      <c r="D7" s="1">
        <v>45354</v>
      </c>
      <c r="E7">
        <v>2</v>
      </c>
      <c r="F7" t="s">
        <v>147</v>
      </c>
    </row>
    <row r="8" spans="1:6">
      <c r="A8" t="s">
        <v>122</v>
      </c>
      <c r="B8">
        <v>110158003</v>
      </c>
      <c r="C8">
        <v>4422</v>
      </c>
      <c r="D8" s="1">
        <v>45350</v>
      </c>
      <c r="E8">
        <v>5</v>
      </c>
      <c r="F8" t="s">
        <v>146</v>
      </c>
    </row>
    <row r="9" spans="1:6">
      <c r="A9" t="s">
        <v>140</v>
      </c>
      <c r="B9">
        <v>110158021</v>
      </c>
      <c r="C9">
        <v>4499</v>
      </c>
      <c r="D9" s="1">
        <v>45368</v>
      </c>
      <c r="E9">
        <v>5</v>
      </c>
      <c r="F9" t="s">
        <v>146</v>
      </c>
    </row>
    <row r="10" spans="1:6">
      <c r="A10" t="s">
        <v>121</v>
      </c>
      <c r="B10">
        <v>110158002</v>
      </c>
      <c r="C10">
        <v>4411</v>
      </c>
      <c r="D10" s="1">
        <v>45349</v>
      </c>
      <c r="E10">
        <v>4</v>
      </c>
      <c r="F10" t="s">
        <v>146</v>
      </c>
    </row>
    <row r="11" spans="1:6">
      <c r="A11" t="s">
        <v>125</v>
      </c>
      <c r="B11">
        <v>110158006</v>
      </c>
      <c r="C11">
        <v>4455</v>
      </c>
      <c r="D11" s="1">
        <v>45353</v>
      </c>
      <c r="E11">
        <v>3</v>
      </c>
      <c r="F11" t="s">
        <v>147</v>
      </c>
    </row>
    <row r="12" spans="1:6">
      <c r="A12" t="s">
        <v>128</v>
      </c>
      <c r="B12">
        <v>110158009</v>
      </c>
      <c r="C12">
        <v>4488</v>
      </c>
      <c r="D12" s="1">
        <v>45356</v>
      </c>
      <c r="E12">
        <v>4</v>
      </c>
      <c r="F12" t="s">
        <v>146</v>
      </c>
    </row>
    <row r="13" spans="1:6">
      <c r="A13" t="s">
        <v>142</v>
      </c>
      <c r="B13">
        <v>110158023</v>
      </c>
      <c r="C13">
        <v>4422</v>
      </c>
      <c r="D13" s="1">
        <v>45370</v>
      </c>
      <c r="E13">
        <v>2</v>
      </c>
      <c r="F13" t="s">
        <v>147</v>
      </c>
    </row>
    <row r="14" spans="1:6">
      <c r="A14" t="s">
        <v>127</v>
      </c>
      <c r="B14">
        <v>110158008</v>
      </c>
      <c r="C14">
        <v>4477</v>
      </c>
      <c r="D14" s="1">
        <v>45355</v>
      </c>
      <c r="E14">
        <v>1</v>
      </c>
      <c r="F14" t="s">
        <v>147</v>
      </c>
    </row>
    <row r="15" spans="1:6">
      <c r="A15" t="s">
        <v>134</v>
      </c>
      <c r="B15">
        <v>110158015</v>
      </c>
      <c r="C15">
        <v>4433</v>
      </c>
      <c r="D15" s="1">
        <v>45362</v>
      </c>
      <c r="E15">
        <v>6</v>
      </c>
      <c r="F15" t="s">
        <v>146</v>
      </c>
    </row>
    <row r="16" spans="1:6">
      <c r="A16" t="s">
        <v>139</v>
      </c>
      <c r="B16">
        <v>110158020</v>
      </c>
      <c r="C16">
        <v>4488</v>
      </c>
      <c r="D16" s="1">
        <v>45367</v>
      </c>
      <c r="E16">
        <v>1</v>
      </c>
      <c r="F16" t="s">
        <v>147</v>
      </c>
    </row>
    <row r="17" spans="1:6">
      <c r="A17" t="s">
        <v>133</v>
      </c>
      <c r="B17">
        <v>110158014</v>
      </c>
      <c r="C17">
        <v>4422</v>
      </c>
      <c r="D17" s="1">
        <v>45361</v>
      </c>
      <c r="E17">
        <v>2</v>
      </c>
      <c r="F17" t="s">
        <v>146</v>
      </c>
    </row>
    <row r="18" spans="1:6">
      <c r="A18" t="s">
        <v>136</v>
      </c>
      <c r="B18">
        <v>110158017</v>
      </c>
      <c r="C18">
        <v>4455</v>
      </c>
      <c r="D18" s="1">
        <v>45364</v>
      </c>
      <c r="E18">
        <v>4</v>
      </c>
      <c r="F18" t="s">
        <v>147</v>
      </c>
    </row>
    <row r="19" spans="1:6">
      <c r="A19" t="s">
        <v>141</v>
      </c>
      <c r="B19">
        <v>110158022</v>
      </c>
      <c r="C19">
        <v>4411</v>
      </c>
      <c r="D19" s="1">
        <v>45369</v>
      </c>
      <c r="E19">
        <v>1</v>
      </c>
      <c r="F19" t="s">
        <v>146</v>
      </c>
    </row>
    <row r="20" spans="1:6">
      <c r="A20" t="s">
        <v>138</v>
      </c>
      <c r="B20">
        <v>110158019</v>
      </c>
      <c r="C20">
        <v>4477</v>
      </c>
      <c r="D20" s="1">
        <v>45366</v>
      </c>
      <c r="E20">
        <v>3</v>
      </c>
      <c r="F20" t="s">
        <v>147</v>
      </c>
    </row>
    <row r="21" spans="1:6">
      <c r="A21" t="s">
        <v>132</v>
      </c>
      <c r="B21">
        <v>110158013</v>
      </c>
      <c r="C21">
        <v>4411</v>
      </c>
      <c r="D21" s="1">
        <v>45360</v>
      </c>
      <c r="E21">
        <v>3</v>
      </c>
      <c r="F21" t="s">
        <v>146</v>
      </c>
    </row>
    <row r="22" spans="1:6">
      <c r="A22" t="s">
        <v>144</v>
      </c>
      <c r="B22">
        <v>110158025</v>
      </c>
      <c r="C22">
        <v>4499</v>
      </c>
      <c r="D22" s="1">
        <v>45372</v>
      </c>
      <c r="E22">
        <v>3</v>
      </c>
      <c r="F22" t="s">
        <v>146</v>
      </c>
    </row>
    <row r="23" spans="1:6">
      <c r="A23" t="s">
        <v>123</v>
      </c>
      <c r="B23">
        <v>110158004</v>
      </c>
      <c r="C23">
        <v>4433</v>
      </c>
      <c r="D23" s="1">
        <v>45351</v>
      </c>
      <c r="E23">
        <v>4</v>
      </c>
      <c r="F23" t="s">
        <v>147</v>
      </c>
    </row>
    <row r="24" spans="1:6">
      <c r="A24" t="s">
        <v>130</v>
      </c>
      <c r="B24">
        <v>110158011</v>
      </c>
      <c r="C24">
        <v>4488</v>
      </c>
      <c r="D24" s="1">
        <v>45358</v>
      </c>
      <c r="E24">
        <v>2</v>
      </c>
      <c r="F24" t="s">
        <v>147</v>
      </c>
    </row>
    <row r="25" spans="1:6">
      <c r="A25" t="s">
        <v>129</v>
      </c>
      <c r="B25">
        <v>110158010</v>
      </c>
      <c r="C25">
        <v>4499</v>
      </c>
      <c r="D25" s="1">
        <v>45357</v>
      </c>
      <c r="E25">
        <v>5</v>
      </c>
      <c r="F25" t="s">
        <v>146</v>
      </c>
    </row>
    <row r="26" spans="1:6">
      <c r="A26" t="s">
        <v>143</v>
      </c>
      <c r="B26">
        <v>110158024</v>
      </c>
      <c r="C26">
        <v>4488</v>
      </c>
      <c r="D26" s="1">
        <v>45371</v>
      </c>
      <c r="E26">
        <v>3</v>
      </c>
      <c r="F26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splayOrders">
                <anchor moveWithCells="1" sizeWithCells="1">
                  <from>
                    <xdr:col>9</xdr:col>
                    <xdr:colOff>152400</xdr:colOff>
                    <xdr:row>6</xdr:row>
                    <xdr:rowOff>53340</xdr:rowOff>
                  </from>
                  <to>
                    <xdr:col>14</xdr:col>
                    <xdr:colOff>449580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B1050-2FA6-41A3-8444-C509CF4CDD42}">
  <sheetPr codeName="Sheet11"/>
  <dimension ref="A1:E29"/>
  <sheetViews>
    <sheetView workbookViewId="0">
      <selection activeCell="F16" sqref="F16"/>
    </sheetView>
  </sheetViews>
  <sheetFormatPr defaultRowHeight="14.4"/>
  <cols>
    <col min="1" max="1" width="9.33203125" bestFit="1" customWidth="1"/>
    <col min="2" max="2" width="25" bestFit="1" customWidth="1"/>
    <col min="3" max="3" width="13.21875" bestFit="1" customWidth="1"/>
    <col min="4" max="4" width="5.21875" bestFit="1" customWidth="1"/>
    <col min="5" max="5" width="5.44140625" bestFit="1" customWidth="1"/>
  </cols>
  <sheetData>
    <row r="1" spans="1:5">
      <c r="A1" t="s">
        <v>94</v>
      </c>
      <c r="B1" t="s">
        <v>95</v>
      </c>
      <c r="C1" t="s">
        <v>96</v>
      </c>
      <c r="D1" t="s">
        <v>97</v>
      </c>
      <c r="E1" t="s">
        <v>98</v>
      </c>
    </row>
    <row r="2" spans="1:5">
      <c r="A2">
        <v>4400</v>
      </c>
      <c r="B2" t="s">
        <v>99</v>
      </c>
      <c r="C2" t="s">
        <v>109</v>
      </c>
      <c r="D2">
        <v>2870</v>
      </c>
      <c r="E2">
        <v>50</v>
      </c>
    </row>
    <row r="3" spans="1:5">
      <c r="A3">
        <v>4411</v>
      </c>
      <c r="B3" t="s">
        <v>100</v>
      </c>
      <c r="C3" t="s">
        <v>110</v>
      </c>
      <c r="D3">
        <v>4678</v>
      </c>
      <c r="E3">
        <v>54</v>
      </c>
    </row>
    <row r="4" spans="1:5">
      <c r="A4">
        <v>4422</v>
      </c>
      <c r="B4" t="s">
        <v>101</v>
      </c>
      <c r="C4" t="s">
        <v>111</v>
      </c>
      <c r="D4">
        <v>8237</v>
      </c>
      <c r="E4">
        <v>32</v>
      </c>
    </row>
    <row r="5" spans="1:5">
      <c r="A5">
        <v>4433</v>
      </c>
      <c r="B5" t="s">
        <v>102</v>
      </c>
      <c r="C5" t="s">
        <v>112</v>
      </c>
      <c r="D5">
        <v>5621</v>
      </c>
      <c r="E5">
        <v>63</v>
      </c>
    </row>
    <row r="6" spans="1:5">
      <c r="A6">
        <v>4444</v>
      </c>
      <c r="B6" t="s">
        <v>103</v>
      </c>
      <c r="C6" t="s">
        <v>113</v>
      </c>
      <c r="D6">
        <v>9023</v>
      </c>
      <c r="E6">
        <v>78</v>
      </c>
    </row>
    <row r="7" spans="1:5">
      <c r="A7">
        <v>4455</v>
      </c>
      <c r="B7" t="s">
        <v>104</v>
      </c>
      <c r="C7" t="s">
        <v>109</v>
      </c>
      <c r="D7">
        <v>2990</v>
      </c>
      <c r="E7">
        <v>95</v>
      </c>
    </row>
    <row r="8" spans="1:5">
      <c r="A8">
        <v>4466</v>
      </c>
      <c r="B8" t="s">
        <v>105</v>
      </c>
      <c r="C8" t="s">
        <v>114</v>
      </c>
      <c r="D8">
        <v>3000</v>
      </c>
      <c r="E8">
        <v>64</v>
      </c>
    </row>
    <row r="9" spans="1:5">
      <c r="A9">
        <v>4477</v>
      </c>
      <c r="B9" t="s">
        <v>106</v>
      </c>
      <c r="C9" t="s">
        <v>115</v>
      </c>
      <c r="D9">
        <v>6500</v>
      </c>
      <c r="E9">
        <v>28</v>
      </c>
    </row>
    <row r="10" spans="1:5">
      <c r="A10">
        <v>4488</v>
      </c>
      <c r="B10" t="s">
        <v>107</v>
      </c>
      <c r="C10" t="s">
        <v>110</v>
      </c>
      <c r="D10">
        <v>2300</v>
      </c>
      <c r="E10">
        <v>72</v>
      </c>
    </row>
    <row r="11" spans="1:5">
      <c r="A11">
        <v>4499</v>
      </c>
      <c r="B11" t="s">
        <v>108</v>
      </c>
      <c r="C11" t="s">
        <v>109</v>
      </c>
      <c r="D11">
        <v>6300</v>
      </c>
      <c r="E11">
        <v>45</v>
      </c>
    </row>
    <row r="29" spans="1:5">
      <c r="A29">
        <v>4500</v>
      </c>
      <c r="B29" t="s">
        <v>170</v>
      </c>
      <c r="C29" t="s">
        <v>171</v>
      </c>
      <c r="D29">
        <v>46645</v>
      </c>
      <c r="E29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D0B39-B589-43D3-B431-B94E7A5B7D49}">
  <sheetPr codeName="Sheet9"/>
  <dimension ref="A1:AL33"/>
  <sheetViews>
    <sheetView showGridLines="0" tabSelected="1" zoomScale="66" zoomScaleNormal="66" workbookViewId="0">
      <selection activeCell="J20" sqref="J20"/>
    </sheetView>
  </sheetViews>
  <sheetFormatPr defaultRowHeight="14.4"/>
  <cols>
    <col min="1" max="1" width="21" customWidth="1"/>
    <col min="2" max="2" width="16.21875" customWidth="1"/>
    <col min="3" max="3" width="23.33203125" customWidth="1"/>
    <col min="4" max="4" width="9.5546875" customWidth="1"/>
    <col min="5" max="5" width="8.88671875" hidden="1" customWidth="1"/>
    <col min="6" max="6" width="5.6640625" hidden="1" customWidth="1"/>
    <col min="7" max="9" width="8.88671875" hidden="1" customWidth="1"/>
    <col min="10" max="10" width="19.33203125" customWidth="1"/>
    <col min="11" max="11" width="16.33203125" customWidth="1"/>
    <col min="13" max="13" width="23" customWidth="1"/>
    <col min="14" max="14" width="38.6640625" customWidth="1"/>
    <col min="19" max="19" width="44" customWidth="1"/>
    <col min="20" max="39" width="0" hidden="1" customWidth="1"/>
  </cols>
  <sheetData>
    <row r="1" spans="1:38">
      <c r="A1" s="19" t="s">
        <v>160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1"/>
    </row>
    <row r="2" spans="1:38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4"/>
    </row>
    <row r="3" spans="1:38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7"/>
    </row>
    <row r="4" spans="1:38">
      <c r="A4" s="28" t="s">
        <v>161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</row>
    <row r="5" spans="1:38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38">
      <c r="A6" s="11" t="s">
        <v>118</v>
      </c>
      <c r="B6" s="11"/>
      <c r="C6" s="11"/>
      <c r="D6" s="11"/>
    </row>
    <row r="7" spans="1:38">
      <c r="A7" s="5" t="s">
        <v>116</v>
      </c>
      <c r="B7" s="5"/>
      <c r="C7" s="5"/>
      <c r="D7" s="5"/>
    </row>
    <row r="8" spans="1:38">
      <c r="A8" s="12" t="s">
        <v>162</v>
      </c>
      <c r="B8" s="12"/>
      <c r="C8" s="12"/>
      <c r="D8" s="12"/>
    </row>
    <row r="9" spans="1:38">
      <c r="A9" s="29" t="s">
        <v>163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1"/>
      <c r="T9" s="39" t="s">
        <v>164</v>
      </c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1"/>
    </row>
    <row r="10" spans="1:38">
      <c r="A10" s="32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4"/>
      <c r="T10" s="42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4"/>
    </row>
    <row r="11" spans="1:38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7"/>
      <c r="T11" s="45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7"/>
    </row>
    <row r="12" spans="1:38">
      <c r="A12" s="11" t="s">
        <v>3</v>
      </c>
      <c r="B12" s="11"/>
      <c r="C12" s="11"/>
      <c r="D12" s="11"/>
    </row>
    <row r="13" spans="1:38">
      <c r="A13" s="5" t="s">
        <v>119</v>
      </c>
      <c r="B13" s="5"/>
      <c r="C13" s="5"/>
      <c r="D13" s="5"/>
    </row>
    <row r="14" spans="1:38">
      <c r="A14" s="5" t="s">
        <v>97</v>
      </c>
      <c r="B14" s="5"/>
      <c r="C14" s="5"/>
      <c r="D14" s="5"/>
    </row>
    <row r="15" spans="1:38">
      <c r="A15" s="5" t="s">
        <v>95</v>
      </c>
      <c r="B15" s="5"/>
      <c r="C15" s="5"/>
      <c r="D15" s="5"/>
    </row>
    <row r="18" spans="1:14">
      <c r="A18" s="8" t="s">
        <v>167</v>
      </c>
      <c r="B18" s="5" t="s">
        <v>156</v>
      </c>
      <c r="C18" s="5" t="s">
        <v>95</v>
      </c>
      <c r="D18" s="5" t="s">
        <v>119</v>
      </c>
      <c r="E18" s="5" t="s">
        <v>97</v>
      </c>
      <c r="F18" s="5" t="s">
        <v>155</v>
      </c>
      <c r="G18" t="s">
        <v>165</v>
      </c>
      <c r="H18" t="s">
        <v>166</v>
      </c>
      <c r="I18" s="7" t="s">
        <v>159</v>
      </c>
      <c r="J18" s="5" t="s">
        <v>168</v>
      </c>
      <c r="K18" s="5" t="s">
        <v>169</v>
      </c>
      <c r="M18" s="4" t="s">
        <v>95</v>
      </c>
      <c r="N18" s="4" t="s">
        <v>97</v>
      </c>
    </row>
    <row r="19" spans="1:14">
      <c r="A19" s="10" t="s">
        <v>158</v>
      </c>
      <c r="B19" s="5" t="s">
        <v>157</v>
      </c>
      <c r="C19" s="5" t="s">
        <v>101</v>
      </c>
      <c r="D19" s="5">
        <v>2</v>
      </c>
      <c r="E19" s="5">
        <f>VLOOKUP(C19,M18:N28,2,FALSE)</f>
        <v>8237</v>
      </c>
      <c r="F19" s="5">
        <f>D19*E19</f>
        <v>16474</v>
      </c>
      <c r="I19" s="6">
        <f>SUM(F19:F30)</f>
        <v>25444</v>
      </c>
      <c r="J19" s="5">
        <f>VLOOKUP(C19,M18:N28,2,FALSE)</f>
        <v>8237</v>
      </c>
      <c r="K19" s="9">
        <f>D19*J19</f>
        <v>16474</v>
      </c>
      <c r="M19" s="4" t="s">
        <v>99</v>
      </c>
      <c r="N19" s="4">
        <v>2870</v>
      </c>
    </row>
    <row r="20" spans="1:14">
      <c r="A20" s="10"/>
      <c r="B20" s="5"/>
      <c r="C20" s="5" t="s">
        <v>104</v>
      </c>
      <c r="D20" s="5">
        <v>3</v>
      </c>
      <c r="E20" s="5">
        <f>VLOOKUP(C20,M19:N29,2,FALSE)</f>
        <v>2990</v>
      </c>
      <c r="F20" s="5">
        <f>D20*E20</f>
        <v>8970</v>
      </c>
      <c r="J20" s="5">
        <f>VLOOKUP(C20,M19:N29,2,FALSE)</f>
        <v>2990</v>
      </c>
      <c r="K20" s="9">
        <f>D20*J20</f>
        <v>8970</v>
      </c>
      <c r="M20" s="4" t="s">
        <v>100</v>
      </c>
      <c r="N20" s="4">
        <v>4678</v>
      </c>
    </row>
    <row r="21" spans="1:14">
      <c r="A21" s="8"/>
      <c r="B21" s="5"/>
      <c r="C21" s="5"/>
      <c r="D21" s="5"/>
      <c r="E21" s="5"/>
      <c r="F21" s="5"/>
      <c r="J21" s="5"/>
      <c r="K21" s="9"/>
      <c r="M21" s="4" t="s">
        <v>101</v>
      </c>
      <c r="N21" s="4">
        <v>8237</v>
      </c>
    </row>
    <row r="22" spans="1:14">
      <c r="A22" s="8"/>
      <c r="B22" s="5"/>
      <c r="C22" s="5"/>
      <c r="D22" s="5"/>
      <c r="E22" s="5"/>
      <c r="F22" s="5"/>
      <c r="J22" s="5"/>
      <c r="K22" s="9"/>
      <c r="M22" s="4" t="s">
        <v>102</v>
      </c>
      <c r="N22" s="4">
        <v>5621</v>
      </c>
    </row>
    <row r="23" spans="1:14">
      <c r="A23" s="8"/>
      <c r="B23" s="5"/>
      <c r="C23" s="5"/>
      <c r="D23" s="5"/>
      <c r="E23" s="5"/>
      <c r="F23" s="5"/>
      <c r="J23" s="5"/>
      <c r="K23" s="9"/>
      <c r="M23" s="4" t="s">
        <v>103</v>
      </c>
      <c r="N23" s="4">
        <v>9023</v>
      </c>
    </row>
    <row r="24" spans="1:14">
      <c r="A24" s="8"/>
      <c r="B24" s="5"/>
      <c r="C24" s="5"/>
      <c r="D24" s="5"/>
      <c r="E24" s="5"/>
      <c r="F24" s="5"/>
      <c r="J24" s="5"/>
      <c r="K24" s="9"/>
      <c r="M24" s="4" t="s">
        <v>104</v>
      </c>
      <c r="N24" s="4">
        <v>2990</v>
      </c>
    </row>
    <row r="25" spans="1:14">
      <c r="A25" s="8"/>
      <c r="B25" s="5"/>
      <c r="C25" s="5"/>
      <c r="D25" s="5"/>
      <c r="E25" s="5"/>
      <c r="F25" s="5"/>
      <c r="J25" s="5"/>
      <c r="K25" s="9"/>
      <c r="M25" s="4" t="s">
        <v>105</v>
      </c>
      <c r="N25" s="4">
        <v>3000</v>
      </c>
    </row>
    <row r="26" spans="1:14">
      <c r="A26" s="8"/>
      <c r="B26" s="5"/>
      <c r="C26" s="5"/>
      <c r="D26" s="5"/>
      <c r="E26" s="5"/>
      <c r="F26" s="5"/>
      <c r="J26" s="5"/>
      <c r="K26" s="9"/>
      <c r="M26" s="4" t="s">
        <v>106</v>
      </c>
      <c r="N26" s="4">
        <v>6500</v>
      </c>
    </row>
    <row r="27" spans="1:14">
      <c r="A27" s="8"/>
      <c r="B27" s="5"/>
      <c r="C27" s="5"/>
      <c r="D27" s="5"/>
      <c r="E27" s="5"/>
      <c r="F27" s="5"/>
      <c r="J27" s="5"/>
      <c r="K27" s="9"/>
      <c r="M27" s="4" t="s">
        <v>107</v>
      </c>
      <c r="N27" s="4">
        <v>2300</v>
      </c>
    </row>
    <row r="28" spans="1:14">
      <c r="A28" s="8"/>
      <c r="B28" s="5"/>
      <c r="C28" s="5"/>
      <c r="D28" s="5"/>
      <c r="E28" s="5"/>
      <c r="F28" s="5"/>
      <c r="J28" s="5"/>
      <c r="K28" s="9"/>
      <c r="M28" s="4" t="s">
        <v>108</v>
      </c>
      <c r="N28" s="4">
        <v>6300</v>
      </c>
    </row>
    <row r="29" spans="1:14">
      <c r="A29" s="8"/>
      <c r="B29" s="5"/>
      <c r="C29" s="5"/>
      <c r="D29" s="5"/>
      <c r="E29" s="5"/>
      <c r="F29" s="5"/>
      <c r="J29" s="5"/>
      <c r="K29" s="9"/>
    </row>
    <row r="30" spans="1:14">
      <c r="A30" s="8"/>
      <c r="B30" s="5"/>
      <c r="C30" s="5"/>
      <c r="D30" s="5"/>
      <c r="E30" s="5"/>
      <c r="F30" s="5"/>
      <c r="J30" s="5"/>
      <c r="K30" s="9"/>
    </row>
    <row r="31" spans="1:14">
      <c r="J31" s="38" t="s">
        <v>159</v>
      </c>
      <c r="K31" s="38">
        <f>SUM(K19:K30)</f>
        <v>25444</v>
      </c>
    </row>
    <row r="32" spans="1:14">
      <c r="J32" s="38"/>
      <c r="K32" s="38"/>
    </row>
    <row r="33" spans="10:11">
      <c r="J33" s="38"/>
      <c r="K33" s="38"/>
    </row>
  </sheetData>
  <mergeCells count="6">
    <mergeCell ref="A1:W3"/>
    <mergeCell ref="A4:W5"/>
    <mergeCell ref="A9:S11"/>
    <mergeCell ref="J31:J33"/>
    <mergeCell ref="K31:K33"/>
    <mergeCell ref="T9:AL11"/>
  </mergeCells>
  <dataValidations count="1">
    <dataValidation type="list" allowBlank="1" showInputMessage="1" showErrorMessage="1" sqref="C19:C33" xr:uid="{E82D1299-BCC3-4A6B-8939-F790283FD13B}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F1119-9FC4-4DA9-AB61-828CD093CF37}">
  <sheetPr codeName="Sheet6"/>
  <dimension ref="D2:H26"/>
  <sheetViews>
    <sheetView showGridLines="0" topLeftCell="A2" workbookViewId="0">
      <selection activeCell="I8" sqref="I8"/>
    </sheetView>
  </sheetViews>
  <sheetFormatPr defaultRowHeight="14.4"/>
  <cols>
    <col min="4" max="4" width="25" bestFit="1" customWidth="1"/>
    <col min="5" max="5" width="15.77734375" bestFit="1" customWidth="1"/>
    <col min="6" max="6" width="18.21875" bestFit="1" customWidth="1"/>
    <col min="7" max="7" width="11.33203125" bestFit="1" customWidth="1"/>
    <col min="8" max="8" width="16.109375" bestFit="1" customWidth="1"/>
  </cols>
  <sheetData>
    <row r="2" spans="4:8">
      <c r="D2" s="15" t="s">
        <v>94</v>
      </c>
      <c r="E2" s="11" t="s">
        <v>95</v>
      </c>
      <c r="F2" s="11" t="s">
        <v>148</v>
      </c>
      <c r="G2" s="16" t="s">
        <v>97</v>
      </c>
    </row>
    <row r="3" spans="4:8">
      <c r="D3" s="8">
        <v>4400</v>
      </c>
      <c r="E3" s="5" t="s">
        <v>99</v>
      </c>
      <c r="F3" s="5">
        <v>1</v>
      </c>
      <c r="G3" s="9">
        <v>2870</v>
      </c>
    </row>
    <row r="4" spans="4:8">
      <c r="D4" s="8">
        <v>4411</v>
      </c>
      <c r="E4" s="5" t="s">
        <v>100</v>
      </c>
      <c r="F4" s="5">
        <v>8</v>
      </c>
      <c r="G4" s="9">
        <v>4678</v>
      </c>
    </row>
    <row r="5" spans="4:8">
      <c r="D5" s="8">
        <v>4422</v>
      </c>
      <c r="E5" s="5" t="s">
        <v>101</v>
      </c>
      <c r="F5" s="5">
        <v>9</v>
      </c>
      <c r="G5" s="9">
        <v>8237</v>
      </c>
    </row>
    <row r="6" spans="4:8">
      <c r="D6" s="8">
        <v>4433</v>
      </c>
      <c r="E6" s="5" t="s">
        <v>102</v>
      </c>
      <c r="F6" s="5">
        <v>10</v>
      </c>
      <c r="G6" s="9">
        <v>5621</v>
      </c>
    </row>
    <row r="7" spans="4:8">
      <c r="D7" s="8">
        <v>4444</v>
      </c>
      <c r="E7" s="5" t="s">
        <v>103</v>
      </c>
      <c r="F7" s="5">
        <v>11</v>
      </c>
      <c r="G7" s="9">
        <v>9023</v>
      </c>
    </row>
    <row r="8" spans="4:8">
      <c r="D8" s="8">
        <v>4455</v>
      </c>
      <c r="E8" s="5" t="s">
        <v>104</v>
      </c>
      <c r="F8" s="5">
        <v>7</v>
      </c>
      <c r="G8" s="9">
        <v>2990</v>
      </c>
    </row>
    <row r="9" spans="4:8">
      <c r="D9" s="8">
        <v>4466</v>
      </c>
      <c r="E9" s="5" t="s">
        <v>105</v>
      </c>
      <c r="F9" s="5">
        <v>4</v>
      </c>
      <c r="G9" s="9">
        <v>3000</v>
      </c>
    </row>
    <row r="10" spans="4:8">
      <c r="D10" s="8">
        <v>4477</v>
      </c>
      <c r="E10" s="5" t="s">
        <v>106</v>
      </c>
      <c r="F10" s="5">
        <v>4</v>
      </c>
      <c r="G10" s="9">
        <v>6500</v>
      </c>
    </row>
    <row r="11" spans="4:8">
      <c r="D11" s="8">
        <v>4488</v>
      </c>
      <c r="E11" s="5" t="s">
        <v>107</v>
      </c>
      <c r="F11" s="5">
        <v>10</v>
      </c>
      <c r="G11" s="9">
        <v>2300</v>
      </c>
    </row>
    <row r="12" spans="4:8">
      <c r="D12" s="17">
        <v>4499</v>
      </c>
      <c r="E12" s="12" t="s">
        <v>108</v>
      </c>
      <c r="F12" s="12">
        <v>15</v>
      </c>
      <c r="G12" s="18">
        <v>6300</v>
      </c>
    </row>
    <row r="15" spans="4:8">
      <c r="D15" s="2" t="s">
        <v>150</v>
      </c>
      <c r="E15" t="s">
        <v>149</v>
      </c>
      <c r="F15" t="s">
        <v>152</v>
      </c>
      <c r="G15" t="s">
        <v>153</v>
      </c>
      <c r="H15" t="s">
        <v>154</v>
      </c>
    </row>
    <row r="16" spans="4:8">
      <c r="D16" s="3" t="s">
        <v>102</v>
      </c>
      <c r="E16">
        <v>4433</v>
      </c>
      <c r="F16">
        <v>10</v>
      </c>
      <c r="G16">
        <v>5621</v>
      </c>
      <c r="H16">
        <v>56210</v>
      </c>
    </row>
    <row r="17" spans="4:8">
      <c r="D17" s="3" t="s">
        <v>100</v>
      </c>
      <c r="E17">
        <v>4411</v>
      </c>
      <c r="F17">
        <v>8</v>
      </c>
      <c r="G17">
        <v>4678</v>
      </c>
      <c r="H17">
        <v>37424</v>
      </c>
    </row>
    <row r="18" spans="4:8">
      <c r="D18" s="3" t="s">
        <v>107</v>
      </c>
      <c r="E18">
        <v>4488</v>
      </c>
      <c r="F18">
        <v>10</v>
      </c>
      <c r="G18">
        <v>2300</v>
      </c>
      <c r="H18">
        <v>23000</v>
      </c>
    </row>
    <row r="19" spans="4:8">
      <c r="D19" s="3" t="s">
        <v>105</v>
      </c>
      <c r="E19">
        <v>4466</v>
      </c>
      <c r="F19">
        <v>4</v>
      </c>
      <c r="G19">
        <v>3000</v>
      </c>
      <c r="H19">
        <v>12000</v>
      </c>
    </row>
    <row r="20" spans="4:8">
      <c r="D20" s="3" t="s">
        <v>103</v>
      </c>
      <c r="E20">
        <v>4444</v>
      </c>
      <c r="F20">
        <v>11</v>
      </c>
      <c r="G20">
        <v>9023</v>
      </c>
      <c r="H20">
        <v>99253</v>
      </c>
    </row>
    <row r="21" spans="4:8">
      <c r="D21" s="3" t="s">
        <v>101</v>
      </c>
      <c r="E21">
        <v>4422</v>
      </c>
      <c r="F21">
        <v>9</v>
      </c>
      <c r="G21">
        <v>8237</v>
      </c>
      <c r="H21">
        <v>74133</v>
      </c>
    </row>
    <row r="22" spans="4:8">
      <c r="D22" s="3" t="s">
        <v>106</v>
      </c>
      <c r="E22">
        <v>4477</v>
      </c>
      <c r="F22">
        <v>4</v>
      </c>
      <c r="G22">
        <v>6500</v>
      </c>
      <c r="H22">
        <v>26000</v>
      </c>
    </row>
    <row r="23" spans="4:8">
      <c r="D23" s="3" t="s">
        <v>104</v>
      </c>
      <c r="E23">
        <v>4455</v>
      </c>
      <c r="F23">
        <v>7</v>
      </c>
      <c r="G23">
        <v>2990</v>
      </c>
      <c r="H23">
        <v>20930</v>
      </c>
    </row>
    <row r="24" spans="4:8">
      <c r="D24" s="3" t="s">
        <v>99</v>
      </c>
      <c r="E24">
        <v>4400</v>
      </c>
      <c r="F24">
        <v>1</v>
      </c>
      <c r="G24">
        <v>2870</v>
      </c>
      <c r="H24">
        <v>2870</v>
      </c>
    </row>
    <row r="25" spans="4:8">
      <c r="D25" s="3" t="s">
        <v>108</v>
      </c>
      <c r="E25">
        <v>4499</v>
      </c>
      <c r="F25">
        <v>15</v>
      </c>
      <c r="G25">
        <v>6300</v>
      </c>
      <c r="H25">
        <v>94500</v>
      </c>
    </row>
    <row r="26" spans="4:8">
      <c r="D26" s="3" t="s">
        <v>151</v>
      </c>
      <c r="E26">
        <v>44495</v>
      </c>
      <c r="F26">
        <v>79</v>
      </c>
      <c r="G26">
        <v>51519</v>
      </c>
      <c r="H26">
        <v>4070001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2EA6-6A39-4D80-B957-B4144C08B9E1}">
  <sheetPr codeName="Sheet12"/>
  <dimension ref="D2:E6"/>
  <sheetViews>
    <sheetView workbookViewId="0">
      <selection activeCell="E26" sqref="E26"/>
    </sheetView>
  </sheetViews>
  <sheetFormatPr defaultRowHeight="14.4"/>
  <cols>
    <col min="4" max="4" width="37.33203125" customWidth="1"/>
    <col min="5" max="5" width="37" customWidth="1"/>
  </cols>
  <sheetData>
    <row r="2" spans="4:5">
      <c r="D2" s="13" t="s">
        <v>94</v>
      </c>
      <c r="E2" s="14"/>
    </row>
    <row r="3" spans="4:5">
      <c r="D3" s="13" t="s">
        <v>95</v>
      </c>
      <c r="E3" s="14"/>
    </row>
    <row r="4" spans="4:5">
      <c r="D4" s="13" t="s">
        <v>96</v>
      </c>
      <c r="E4" s="5"/>
    </row>
    <row r="5" spans="4:5">
      <c r="D5" s="13" t="s">
        <v>97</v>
      </c>
      <c r="E5" s="14"/>
    </row>
    <row r="6" spans="4:5">
      <c r="D6" s="13" t="s">
        <v>98</v>
      </c>
      <c r="E6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Customers</vt:lpstr>
      <vt:lpstr>Orders</vt:lpstr>
      <vt:lpstr>Products</vt:lpstr>
      <vt:lpstr>Order Form</vt:lpstr>
      <vt:lpstr>Pivot sheet</vt:lpstr>
      <vt:lpstr>Product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pooja bhosale</dc:creator>
  <cp:lastModifiedBy>pooja bhosale</cp:lastModifiedBy>
  <dcterms:created xsi:type="dcterms:W3CDTF">2025-01-18T21:01:37Z</dcterms:created>
  <dcterms:modified xsi:type="dcterms:W3CDTF">2025-01-24T00:08:34Z</dcterms:modified>
</cp:coreProperties>
</file>